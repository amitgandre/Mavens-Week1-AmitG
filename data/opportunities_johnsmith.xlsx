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home/Documents/MAVENS - AI/IntelligentCRM/data/"/>
    </mc:Choice>
  </mc:AlternateContent>
  <xr:revisionPtr revIDLastSave="0" documentId="13_ncr:1_{95EF5A9E-F56D-4C48-8665-8828B70E3B18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<sst xmlns="http://schemas.openxmlformats.org/spreadsheetml/2006/main" count="84" uniqueCount="42">
  <si>
    <t>Opportunity ID</t>
  </si>
  <si>
    <t>Client Name</t>
  </si>
  <si>
    <t>Opportunity Name</t>
  </si>
  <si>
    <t>Opportunity Value</t>
  </si>
  <si>
    <t>Creation Date</t>
  </si>
  <si>
    <t>Expected Closure Date</t>
  </si>
  <si>
    <t>Win Probability</t>
  </si>
  <si>
    <t>Open or Closed</t>
  </si>
  <si>
    <t>TCV</t>
  </si>
  <si>
    <t>ACV</t>
  </si>
  <si>
    <t>Contract Term</t>
  </si>
  <si>
    <t>Margin</t>
  </si>
  <si>
    <t>Industry Sector</t>
  </si>
  <si>
    <t>Salesperson Username</t>
  </si>
  <si>
    <t>1</t>
  </si>
  <si>
    <t>UTD</t>
  </si>
  <si>
    <t>Laptop Purchase</t>
  </si>
  <si>
    <t>Open</t>
  </si>
  <si>
    <t>3</t>
  </si>
  <si>
    <t>Healthcare</t>
  </si>
  <si>
    <t>johnsmith</t>
  </si>
  <si>
    <t>2</t>
  </si>
  <si>
    <t>USC</t>
  </si>
  <si>
    <t>Training</t>
  </si>
  <si>
    <t>UT</t>
  </si>
  <si>
    <t>Firewall</t>
  </si>
  <si>
    <t>University</t>
  </si>
  <si>
    <t>4</t>
  </si>
  <si>
    <t>LSU</t>
  </si>
  <si>
    <t>Notebooks</t>
  </si>
  <si>
    <t>Transportation</t>
  </si>
  <si>
    <t>5</t>
  </si>
  <si>
    <t>A&amp;M</t>
  </si>
  <si>
    <t>Books</t>
  </si>
  <si>
    <t>Closed</t>
  </si>
  <si>
    <t>Yale</t>
  </si>
  <si>
    <t>Cornelle</t>
  </si>
  <si>
    <t>ISU</t>
  </si>
  <si>
    <t>Michigan</t>
  </si>
  <si>
    <t>Nebraska</t>
  </si>
  <si>
    <t>UNC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</si>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</sst>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\$#,##0.00"/>
    <numFmt numFmtId="167" formatCode="yyyy\-mm\-dd"/>
    <numFmt numFmtId="168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1" max="1" width="12.6640625" bestFit="1" customWidth="1"/>
    <col min="2" max="2" width="10.6640625" bestFit="1" customWidth="1"/>
    <col min="3" max="4" width="15.5" bestFit="1" customWidth="1"/>
    <col min="5" max="5" width="11.83203125" bestFit="1" customWidth="1"/>
    <col min="6" max="6" width="18.6640625" bestFit="1" customWidth="1"/>
    <col min="7" max="7" width="13.1640625" bestFit="1" customWidth="1"/>
    <col min="8" max="8" width="12.83203125" bestFit="1" customWidth="1"/>
    <col min="9" max="10" width="12.6640625" bestFit="1" customWidth="1"/>
    <col min="11" max="11" width="12.1640625" bestFit="1" customWidth="1"/>
    <col min="12" max="12" width="7" bestFit="1" customWidth="1"/>
    <col min="13" max="13" width="12.83203125" bestFit="1" customWidth="1"/>
    <col min="14" max="14" width="18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s="2">
        <v>5000000</v>
      </c>
      <c r="E2" s="3">
        <v>46304</v>
      </c>
      <c r="F2" s="3">
        <v>46335</v>
      </c>
      <c r="G2" s="4">
        <v>50</v>
      </c>
      <c r="H2" t="s">
        <v>17</v>
      </c>
      <c r="I2" s="2">
        <v>5000000</v>
      </c>
      <c r="J2" s="2">
        <v>1666666.666666667</v>
      </c>
      <c r="K2" t="s">
        <v>18</v>
      </c>
      <c r="L2" s="4">
        <v>10</v>
      </c>
      <c r="M2" t="s">
        <v>19</v>
      </c>
      <c r="N2" t="s">
        <v>20</v>
      </c>
    </row>
    <row r="3" spans="1:14" x14ac:dyDescent="0.2">
      <c r="A3" t="s">
        <v>21</v>
      </c>
      <c r="B3" t="s">
        <v>22</v>
      </c>
      <c r="C3" t="s">
        <v>23</v>
      </c>
      <c r="D3" s="2">
        <v>50000</v>
      </c>
      <c r="E3" s="3">
        <v>46272</v>
      </c>
      <c r="F3" s="3">
        <v>46365</v>
      </c>
      <c r="G3" s="4">
        <v>25</v>
      </c>
      <c r="H3" t="s">
        <v>17</v>
      </c>
      <c r="I3" s="2">
        <v>50000</v>
      </c>
      <c r="J3" s="2">
        <v>50000</v>
      </c>
      <c r="K3" t="s">
        <v>14</v>
      </c>
      <c r="L3" s="4">
        <v>25</v>
      </c>
      <c r="M3" t="s">
        <v>19</v>
      </c>
      <c r="N3" t="s">
        <v>20</v>
      </c>
    </row>
    <row r="4" spans="1:14" x14ac:dyDescent="0.2">
      <c r="A4" t="s">
        <v>18</v>
      </c>
      <c r="B4" t="s">
        <v>24</v>
      </c>
      <c r="C4" t="s">
        <v>25</v>
      </c>
      <c r="D4" s="2">
        <v>250000</v>
      </c>
      <c r="E4" s="3">
        <v>46262</v>
      </c>
      <c r="F4" s="3">
        <v>46302</v>
      </c>
      <c r="G4" s="4">
        <v>75</v>
      </c>
      <c r="H4" t="s">
        <v>17</v>
      </c>
      <c r="I4" s="2">
        <v>250000</v>
      </c>
      <c r="J4" s="2">
        <v>83333.333333333328</v>
      </c>
      <c r="K4" t="s">
        <v>18</v>
      </c>
      <c r="L4" s="4">
        <v>35</v>
      </c>
      <c r="M4" t="s">
        <v>26</v>
      </c>
      <c r="N4" t="s">
        <v>20</v>
      </c>
    </row>
    <row r="5" spans="1:14" x14ac:dyDescent="0.2">
      <c r="A5" t="s">
        <v>27</v>
      </c>
      <c r="B5" t="s">
        <v>28</v>
      </c>
      <c r="C5" t="s">
        <v>29</v>
      </c>
      <c r="D5" s="2">
        <v>4000000</v>
      </c>
      <c r="E5" s="3">
        <v>46280</v>
      </c>
      <c r="F5" s="3">
        <v>46349</v>
      </c>
      <c r="G5" s="4">
        <v>75</v>
      </c>
      <c r="H5" t="s">
        <v>17</v>
      </c>
      <c r="I5" s="2">
        <v>4000000</v>
      </c>
      <c r="J5" s="2">
        <v>2000000</v>
      </c>
      <c r="K5" t="s">
        <v>21</v>
      </c>
      <c r="L5" s="4">
        <v>25</v>
      </c>
      <c r="M5" t="s">
        <v>30</v>
      </c>
      <c r="N5" t="s">
        <v>20</v>
      </c>
    </row>
    <row r="6" spans="1:14" x14ac:dyDescent="0.2">
      <c r="A6" t="s">
        <v>31</v>
      </c>
      <c r="B6" t="s">
        <v>32</v>
      </c>
      <c r="C6" t="s">
        <v>33</v>
      </c>
      <c r="D6" s="2">
        <v>100000</v>
      </c>
      <c r="E6" s="3">
        <v>46209</v>
      </c>
      <c r="F6" s="3">
        <v>46238</v>
      </c>
      <c r="G6" s="4">
        <v>100</v>
      </c>
      <c r="H6" t="s">
        <v>34</v>
      </c>
      <c r="I6" s="2">
        <f>D6</f>
        <v>100000</v>
      </c>
      <c r="J6" s="2">
        <v>100000</v>
      </c>
      <c r="K6" t="s">
        <v>14</v>
      </c>
      <c r="L6" s="4">
        <v>45</v>
      </c>
      <c r="M6" t="s">
        <v>30</v>
      </c>
      <c r="N6" t="s">
        <v>20</v>
      </c>
    </row>
    <row r="7" spans="1:14" x14ac:dyDescent="0.2">
      <c r="A7">
        <v>6</v>
      </c>
      <c r="B7" t="s">
        <v>15</v>
      </c>
      <c r="C7" t="s">
        <v>16</v>
      </c>
      <c r="D7" s="2">
        <v>75000</v>
      </c>
      <c r="E7" s="3">
        <v>46099</v>
      </c>
      <c r="F7" s="3">
        <v>46368</v>
      </c>
      <c r="G7" s="4">
        <v>25</v>
      </c>
      <c r="H7" t="s">
        <v>17</v>
      </c>
      <c r="I7" s="2">
        <f t="shared" ref="I7:I13" si="0">D7</f>
        <v>75000</v>
      </c>
      <c r="J7" s="2">
        <f>I7/K7</f>
        <v>37500</v>
      </c>
      <c r="K7">
        <v>2</v>
      </c>
      <c r="L7" s="4">
        <v>5</v>
      </c>
      <c r="M7" t="s">
        <v>30</v>
      </c>
      <c r="N7" t="s">
        <v>20</v>
      </c>
    </row>
    <row r="8" spans="1:14" x14ac:dyDescent="0.2">
      <c r="A8">
        <v>7</v>
      </c>
      <c r="B8" t="s">
        <v>35</v>
      </c>
      <c r="C8" t="s">
        <v>23</v>
      </c>
      <c r="D8" s="2">
        <v>25000</v>
      </c>
      <c r="E8" s="3">
        <v>46296</v>
      </c>
      <c r="F8" s="3">
        <v>112082</v>
      </c>
      <c r="G8" s="4">
        <v>25</v>
      </c>
      <c r="H8" t="s">
        <v>17</v>
      </c>
      <c r="I8" s="2">
        <f t="shared" si="0"/>
        <v>25000</v>
      </c>
      <c r="J8" s="2">
        <f t="shared" ref="J8:J13" si="1">I8/K8</f>
        <v>8333.3333333333339</v>
      </c>
      <c r="K8">
        <v>3</v>
      </c>
      <c r="L8" s="4">
        <v>5</v>
      </c>
      <c r="M8" t="s">
        <v>19</v>
      </c>
      <c r="N8" t="s">
        <v>20</v>
      </c>
    </row>
    <row r="9" spans="1:14" x14ac:dyDescent="0.2">
      <c r="A9">
        <v>8</v>
      </c>
      <c r="B9" t="s">
        <v>36</v>
      </c>
      <c r="C9" t="s">
        <v>25</v>
      </c>
      <c r="D9" s="2">
        <v>55000</v>
      </c>
      <c r="E9" s="3">
        <v>46135</v>
      </c>
      <c r="F9" s="3">
        <v>46166</v>
      </c>
      <c r="G9" s="4">
        <v>100</v>
      </c>
      <c r="H9" t="s">
        <v>34</v>
      </c>
      <c r="I9" s="2">
        <f t="shared" si="0"/>
        <v>55000</v>
      </c>
      <c r="J9" s="2">
        <f t="shared" si="1"/>
        <v>55000</v>
      </c>
      <c r="K9">
        <v>1</v>
      </c>
      <c r="L9" s="4">
        <v>10</v>
      </c>
      <c r="M9" t="s">
        <v>26</v>
      </c>
      <c r="N9" t="s">
        <v>20</v>
      </c>
    </row>
    <row r="10" spans="1:14" x14ac:dyDescent="0.2">
      <c r="A10">
        <v>9</v>
      </c>
      <c r="B10" t="s">
        <v>37</v>
      </c>
      <c r="C10" t="s">
        <v>29</v>
      </c>
      <c r="D10" s="2">
        <v>50000</v>
      </c>
      <c r="E10" s="3">
        <v>46161</v>
      </c>
      <c r="F10" s="3">
        <v>46222</v>
      </c>
      <c r="G10" s="4">
        <v>75</v>
      </c>
      <c r="H10" t="s">
        <v>17</v>
      </c>
      <c r="I10" s="2">
        <f t="shared" si="0"/>
        <v>50000</v>
      </c>
      <c r="J10" s="2">
        <f t="shared" si="1"/>
        <v>50000</v>
      </c>
      <c r="K10">
        <v>1</v>
      </c>
      <c r="L10" s="4">
        <v>20</v>
      </c>
      <c r="M10" t="s">
        <v>19</v>
      </c>
      <c r="N10" t="s">
        <v>20</v>
      </c>
    </row>
    <row r="11" spans="1:14" x14ac:dyDescent="0.2">
      <c r="A11">
        <v>10</v>
      </c>
      <c r="B11" t="s">
        <v>38</v>
      </c>
      <c r="C11" t="s">
        <v>33</v>
      </c>
      <c r="D11" s="2">
        <v>250000</v>
      </c>
      <c r="E11" s="3">
        <v>46056</v>
      </c>
      <c r="F11" s="3">
        <v>46337</v>
      </c>
      <c r="G11" s="4">
        <v>25</v>
      </c>
      <c r="H11" t="s">
        <v>17</v>
      </c>
      <c r="I11" s="2">
        <f t="shared" si="0"/>
        <v>250000</v>
      </c>
      <c r="J11" s="2">
        <f t="shared" si="1"/>
        <v>83333.333333333328</v>
      </c>
      <c r="K11">
        <v>3</v>
      </c>
      <c r="L11" s="4">
        <v>15</v>
      </c>
      <c r="M11" t="s">
        <v>41</v>
      </c>
      <c r="N11" t="s">
        <v>20</v>
      </c>
    </row>
    <row r="12" spans="1:14" x14ac:dyDescent="0.2">
      <c r="A12">
        <v>11</v>
      </c>
      <c r="B12" t="s">
        <v>39</v>
      </c>
      <c r="C12" t="s">
        <v>25</v>
      </c>
      <c r="D12" s="2">
        <v>1500000</v>
      </c>
      <c r="E12" s="3">
        <v>46190</v>
      </c>
      <c r="F12" s="3">
        <v>46270</v>
      </c>
      <c r="G12" s="4">
        <v>100</v>
      </c>
      <c r="H12" t="s">
        <v>34</v>
      </c>
      <c r="I12" s="2">
        <f t="shared" si="0"/>
        <v>1500000</v>
      </c>
      <c r="J12" s="2">
        <f t="shared" si="1"/>
        <v>1500000</v>
      </c>
      <c r="K12">
        <v>1</v>
      </c>
      <c r="L12" s="4">
        <v>25</v>
      </c>
      <c r="M12" t="s">
        <v>41</v>
      </c>
      <c r="N12" t="s">
        <v>20</v>
      </c>
    </row>
    <row r="13" spans="1:14" x14ac:dyDescent="0.2">
      <c r="A13">
        <v>12</v>
      </c>
      <c r="B13" t="s">
        <v>40</v>
      </c>
      <c r="C13" t="s">
        <v>29</v>
      </c>
      <c r="D13" s="2">
        <v>45000</v>
      </c>
      <c r="E13" s="3">
        <v>46146</v>
      </c>
      <c r="F13" s="3">
        <v>46369</v>
      </c>
      <c r="G13" s="4">
        <v>75</v>
      </c>
      <c r="H13" t="s">
        <v>17</v>
      </c>
      <c r="I13" s="2">
        <f t="shared" si="0"/>
        <v>45000</v>
      </c>
      <c r="J13" s="2">
        <f t="shared" si="1"/>
        <v>22500</v>
      </c>
      <c r="K13">
        <v>2</v>
      </c>
      <c r="L13" s="4">
        <v>30</v>
      </c>
      <c r="M13" t="s">
        <v>30</v>
      </c>
      <c r="N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Swapna Gandre</cp:lastModifiedBy>
  <dcterms:created xsi:type="dcterms:W3CDTF">2026-10-09T23:44:06Z</dcterms:created>
  <dcterms:modified xsi:type="dcterms:W3CDTF">2026-10-09T23:54:21Z</dcterms:modified>
</cp:coreProperties>
</file>